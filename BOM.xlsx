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martinez/Documents/Github/Hardware-underwater/"/>
    </mc:Choice>
  </mc:AlternateContent>
  <xr:revisionPtr revIDLastSave="0" documentId="13_ncr:1_{A79EC694-5B5A-EC4F-ACCC-61E72397ED11}" xr6:coauthVersionLast="47" xr6:coauthVersionMax="47" xr10:uidLastSave="{00000000-0000-0000-0000-000000000000}"/>
  <bookViews>
    <workbookView xWindow="1360" yWindow="2300" windowWidth="27640" windowHeight="16680" xr2:uid="{4FC88B2B-AB64-434E-BAF9-0819B4A08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7" i="1" l="1"/>
  <c r="G27" i="1"/>
  <c r="H26" i="1"/>
  <c r="G26" i="1"/>
  <c r="G31" i="1" s="1"/>
  <c r="H25" i="1"/>
  <c r="G25" i="1"/>
  <c r="I25" i="1"/>
  <c r="I26" i="1"/>
  <c r="I27" i="1"/>
  <c r="I28" i="1"/>
  <c r="I29" i="1"/>
  <c r="I30" i="1"/>
  <c r="H24" i="1"/>
  <c r="H2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" i="1"/>
  <c r="H31" i="1" l="1"/>
</calcChain>
</file>

<file path=xl/sharedStrings.xml><?xml version="1.0" encoding="utf-8"?>
<sst xmlns="http://schemas.openxmlformats.org/spreadsheetml/2006/main" count="118" uniqueCount="97">
  <si>
    <t>Number</t>
  </si>
  <si>
    <t>Name</t>
  </si>
  <si>
    <t>Type</t>
  </si>
  <si>
    <t>Price per unit</t>
  </si>
  <si>
    <t>Total</t>
  </si>
  <si>
    <t>Mouser</t>
  </si>
  <si>
    <t>Rx</t>
  </si>
  <si>
    <t>Tx</t>
  </si>
  <si>
    <t>Gen</t>
  </si>
  <si>
    <t>TPS54202</t>
  </si>
  <si>
    <t>SOT-23</t>
  </si>
  <si>
    <t>Package</t>
  </si>
  <si>
    <t>DCDC</t>
  </si>
  <si>
    <t>Price per 10</t>
  </si>
  <si>
    <t>https://www.mouser.it/ProductDetail/Texas-Instruments/TPS54202DDCR?qs=sGAEpiMZZMvAX9OfPh%252B2NTz8xP9HFFw9qpSzov%2FienVhIxuedr2aHw%3D%3D</t>
  </si>
  <si>
    <t>24AA025UID-I/SN</t>
  </si>
  <si>
    <t>SOIC-8</t>
  </si>
  <si>
    <t>Identifier</t>
  </si>
  <si>
    <t>Amount to justify 10+</t>
  </si>
  <si>
    <t>https://eu.mouser.com/ProductDetail/Microchip-Technology/24AA025UID-I-SN?qs=Yyy8avaXlItBtwxkuBe2VA%3D%3D</t>
  </si>
  <si>
    <t>SOT-23-6</t>
  </si>
  <si>
    <t>12V switch</t>
  </si>
  <si>
    <t>https://eu.mouser.com/ProductDetail/Texas-Instruments/TPS542025DDCR?qs=G4MbTVxgV4EIp%2FD6LGbt4w%3D%3D</t>
  </si>
  <si>
    <t>TPS22918</t>
  </si>
  <si>
    <t>3V switch</t>
  </si>
  <si>
    <t>https://eu.mouser.com/ProductDetail/Texas-Instruments/TPS22918DBVR?qs=f4l5qYp%2Fy%252B5F7w5ZAgmi7A%3D%3D</t>
  </si>
  <si>
    <t>LMR64010</t>
  </si>
  <si>
    <t>SOT-23-5</t>
  </si>
  <si>
    <t>https://eu.mouser.com/ProductDetail/Texas-Instruments/LMR64010XMFE-NOPB?qs=zRaq9JBfD99xpcMQiBBEDQ%3D%3D</t>
  </si>
  <si>
    <t>LMZ14201H</t>
  </si>
  <si>
    <t>TO-PMOD-7</t>
  </si>
  <si>
    <t>https://eu.mouser.com/ProductDetail/Texas-Instruments/LMZ14201HTZX-NOPB?qs=sGAEpiMZZMvAX9OfPh%252B2Nb%252BRTq3Stz4B3m7eepcIK9c%3D</t>
  </si>
  <si>
    <t>TSSOP-5</t>
  </si>
  <si>
    <t>AND</t>
  </si>
  <si>
    <t>https://eu.mouser.com/ProductDetail/Nexperia/74LVC1G08GW125?qs=me8TqzrmIYVtW9TtT8QUhw%3D%3D</t>
  </si>
  <si>
    <t>74LVC1G08</t>
  </si>
  <si>
    <t>REF2030</t>
  </si>
  <si>
    <t>SOT-23-Thin-5</t>
  </si>
  <si>
    <t>Voltage manager</t>
  </si>
  <si>
    <t>https://eu.mouser.com/ProductDetail/Texas-Instruments/REF2030AIDDCR?qs=7z%252BmIopC6%2FLLZ5pZI8CSjw%3D%3D</t>
  </si>
  <si>
    <t>AD5245BRJZ10-R7</t>
  </si>
  <si>
    <t>10k Potentiometer</t>
  </si>
  <si>
    <t>SOT-23-8</t>
  </si>
  <si>
    <t>https://eu.mouser.com/ProductDetail/Analog-Devices/AD5245BRJZ10-RL7?qs=NmRFExCfTkHuyMZ6qzvtqA%3D%3D</t>
  </si>
  <si>
    <t>DAC</t>
  </si>
  <si>
    <t>SSOP-16</t>
  </si>
  <si>
    <t>LT6222</t>
  </si>
  <si>
    <t>LN OpAmp</t>
  </si>
  <si>
    <t>https://eu.mouser.com/ProductDetail/Analog-Devices/LT6222CGNPBF?qs=hVkxg5c3xu8iX4LXirWxrA%3D%3D</t>
  </si>
  <si>
    <t>OPA551</t>
  </si>
  <si>
    <t>Power OpAmp</t>
  </si>
  <si>
    <t>https://eu.mouser.com/ProductDetail/Texas-Instruments/OPA551UA?qs=wgAEGBTxy7kgdggS2qdK5g%3D%3D</t>
  </si>
  <si>
    <t>OPA552</t>
  </si>
  <si>
    <t>https://eu.mouser.com/ProductDetail/Texas-Instruments/OPA552UA-2K5?qs=1MLYYPJBAjHot9n1VwTEhg%3D%3D</t>
  </si>
  <si>
    <t>MAX14757</t>
  </si>
  <si>
    <t>TSSOP-16</t>
  </si>
  <si>
    <t>Switch</t>
  </si>
  <si>
    <t>https://eu.mouser.com/ProductDetail/Analog-Devices-Maxim-Integrated/MAX14757EUE%2bT?qs=tT6YvvQkxsyGH%2F%2FLSPFCfQ%3D%3D</t>
  </si>
  <si>
    <t>https://eu.mouser.com/ProductDetail/onsemi/MMBFJ108?qs=ljbEvF4DwON%252BG9K%252BQVDbwQ%3D%3D</t>
  </si>
  <si>
    <t>MMBFJ108</t>
  </si>
  <si>
    <t>JFET</t>
  </si>
  <si>
    <t>MMBFJ270</t>
  </si>
  <si>
    <t>SOT-23-3</t>
  </si>
  <si>
    <t>https://eu.mouser.com/ProductDetail/onsemi/MMBFJ270?qs=ljbEvF4DwOPpGpXmCgrWQQ%3D%3D</t>
  </si>
  <si>
    <t>TPS62120</t>
  </si>
  <si>
    <t>https://eu.mouser.com/ProductDetail/Texas-Instruments/TPS62120DCNT?qs=zQ2yIHQ6k3xcyGGPtl4HUQ%3D%3D</t>
  </si>
  <si>
    <t>TPS73150</t>
  </si>
  <si>
    <t>https://eu.mouser.com/ProductDetail/Texas-Instruments/TPS73150DBVR?qs=6zVL%252ByCp0mpoSoYHNmngNA%3D%3D</t>
  </si>
  <si>
    <t>AD8031</t>
  </si>
  <si>
    <t>OpAmp for v/2</t>
  </si>
  <si>
    <t>https://eu.mouser.com/ProductDetail/Analog-Devices/AD8031ARZ-REEL7?qs=sGAEpiMZZMutXGli8Ay4kDQX%252BhIwCgZoHkuOBD0ZWvk%3D</t>
  </si>
  <si>
    <t>LSK170B-SOT-23-3L</t>
  </si>
  <si>
    <t>https://eu.mouser.com/ProductDetail/Linear-Integrated-Systems/LSK170B-SOT-23-3L-CT?qs=T%252BzbugeAwjhfyWPYFLhyaw%3D%3D</t>
  </si>
  <si>
    <t>ADA4807</t>
  </si>
  <si>
    <t>https://eu.mouser.com/ProductDetail/Analog-Devices/ADA4807-1ARJZ-R7?qs=Mn9EN1AKrqSAVUGzUaUckA%3D%3D</t>
  </si>
  <si>
    <t>Total for +10</t>
  </si>
  <si>
    <t>OPA365</t>
  </si>
  <si>
    <t>OpAmp</t>
  </si>
  <si>
    <t>https://eu.mouser.com/ProductDetail/Texas-Instruments/OPA365AIDBVR?qs=sGAEpiMZZMutXGli8Ay4kAIC6Ja3Zf0ILqDG3m9fyLs%3D</t>
  </si>
  <si>
    <t>ADC121S101</t>
  </si>
  <si>
    <t>ADC</t>
  </si>
  <si>
    <t>https://eu.mouser.com/ProductDetail/Texas-Instruments/ADC121S101CIMF-NOPB?qs=7X5t%252BdzoRHBgK%252Bye%252ByINSg%3D%3D</t>
  </si>
  <si>
    <t>DAC8411</t>
  </si>
  <si>
    <t>SC-70-6</t>
  </si>
  <si>
    <t>https://www.mouser.it/ProductDetail/Texas-Instruments/DAC8411IDCKTG4?qs=drm0CCHqiV6vB%252B0ERGIt2A%3D%3D</t>
  </si>
  <si>
    <t>TPS22810</t>
  </si>
  <si>
    <t>B130LAW-7-F</t>
  </si>
  <si>
    <t>SOD-123-2</t>
  </si>
  <si>
    <t>Schottky</t>
  </si>
  <si>
    <t>https://www.mouser.it/ProductDetail/Diodes-Incorporated/B130LAW-7-F?qs=N%2F0WmOHT%2Fs7skU1ebzJOew%3D%3D</t>
  </si>
  <si>
    <t>SS26FL</t>
  </si>
  <si>
    <t>SOD-123-3</t>
  </si>
  <si>
    <t>JFET for amp</t>
  </si>
  <si>
    <t>a</t>
  </si>
  <si>
    <t>SN74LVC1G125DBVT</t>
  </si>
  <si>
    <t>https://www.mouser.it/ProductDetail/Texas-Instruments/SN74LVC1G125DBVT?qs=pajgIaoyDUhgzq%252B7Owiehg%3D%3D</t>
  </si>
  <si>
    <t>https://www.mouser.it/ProductDetail/onsemi/SS26FL?qs=tqW9UTzndZyTyoaPMElZ2A%3D%3D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</si>
</sst>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8" formatCode="_([$$-409]* #,##0.00_);_([$$-409]* \(#,##0.00\);_([$$-409]* &quot;-&quot;??_);_(@_)"/>
    <numFmt numFmtId="176" formatCode="_([$$-409]* #,##0.000_);_([$$-409]* \(#,##0.000\);_([$$-409]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333333"/>
      <name val="Aptos Display"/>
      <scheme val="major"/>
    </font>
    <font>
      <sz val="12"/>
      <color rgb="FF212529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8" fontId="0" fillId="0" borderId="0" xfId="0" applyNumberFormat="1"/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/>
    <xf numFmtId="0" fontId="3" fillId="0" borderId="0" xfId="2"/>
    <xf numFmtId="0" fontId="0" fillId="0" borderId="0" xfId="0" applyFill="1"/>
    <xf numFmtId="176" fontId="0" fillId="0" borderId="0" xfId="0" applyNumberFormat="1" applyFill="1"/>
    <xf numFmtId="168" fontId="0" fillId="0" borderId="0" xfId="0" applyNumberFormat="1" applyFill="1"/>
    <xf numFmtId="1" fontId="0" fillId="0" borderId="0" xfId="1" applyNumberFormat="1" applyFont="1" applyFill="1" applyAlignment="1">
      <alignment horizontal="center"/>
    </xf>
    <xf numFmtId="0" fontId="0" fillId="0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Fill="1"/>
    <xf numFmtId="0" fontId="5" fillId="0" borderId="0" xfId="0" applyFont="1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u.mouser.com/ProductDetail/onsemi/MMBFJ270?qs=ljbEvF4DwOPpGpXmCgrWQQ%3D%3D" TargetMode="External"/><Relationship Id="rId2" Type="http://schemas.openxmlformats.org/officeDocument/2006/relationships/hyperlink" Target="https://eu.mouser.com/ProductDetail/onsemi/MMBFJ108?qs=ljbEvF4DwON%252BG9K%252BQVDbwQ%3D%3D" TargetMode="External"/><Relationship Id="rId1" Type="http://schemas.openxmlformats.org/officeDocument/2006/relationships/hyperlink" Target="https://eu.mouser.com/ProductDetail/Texas-Instruments/LMZ14201HTZX-NOPB?qs=sGAEpiMZZMvAX9OfPh%252B2Nb%252BRTq3Stz4B3m7eepcIK9c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6869-4895-CF40-844F-7B4B60C0332D}">
  <dimension ref="A1:M36"/>
  <sheetViews>
    <sheetView tabSelected="1" topLeftCell="A10" zoomScale="125" workbookViewId="0">
      <selection activeCell="D17" sqref="D17"/>
    </sheetView>
  </sheetViews>
  <sheetFormatPr baseColWidth="10" defaultRowHeight="16" x14ac:dyDescent="0.2"/>
  <cols>
    <col min="2" max="2" width="18.6640625" bestFit="1" customWidth="1"/>
    <col min="3" max="3" width="14.1640625" bestFit="1" customWidth="1"/>
    <col min="4" max="4" width="14.5" bestFit="1" customWidth="1"/>
    <col min="5" max="5" width="11.83203125" style="11" bestFit="1" customWidth="1"/>
    <col min="6" max="6" width="11.83203125" style="3" customWidth="1"/>
    <col min="7" max="8" width="10.83203125" style="3"/>
    <col min="9" max="9" width="10.6640625" style="9" customWidth="1"/>
    <col min="10" max="12" width="5.33203125" style="1" customWidth="1"/>
  </cols>
  <sheetData>
    <row r="1" spans="1:13" ht="34" x14ac:dyDescent="0.2">
      <c r="A1" s="4" t="s">
        <v>0</v>
      </c>
      <c r="B1" s="4" t="s">
        <v>1</v>
      </c>
      <c r="C1" s="4" t="s">
        <v>11</v>
      </c>
      <c r="D1" s="4" t="s">
        <v>2</v>
      </c>
      <c r="E1" s="10" t="s">
        <v>3</v>
      </c>
      <c r="F1" s="5" t="s">
        <v>13</v>
      </c>
      <c r="G1" s="5" t="s">
        <v>4</v>
      </c>
      <c r="H1" s="6" t="s">
        <v>75</v>
      </c>
      <c r="I1" s="7" t="s">
        <v>18</v>
      </c>
      <c r="J1" s="4" t="s">
        <v>6</v>
      </c>
      <c r="K1" s="4" t="s">
        <v>7</v>
      </c>
      <c r="L1" s="4" t="s">
        <v>8</v>
      </c>
      <c r="M1" s="4" t="s">
        <v>5</v>
      </c>
    </row>
    <row r="2" spans="1:13" x14ac:dyDescent="0.2">
      <c r="A2">
        <v>1</v>
      </c>
      <c r="B2" t="s">
        <v>9</v>
      </c>
      <c r="C2" t="s">
        <v>20</v>
      </c>
      <c r="D2" t="s">
        <v>12</v>
      </c>
      <c r="E2" s="11">
        <v>1.82</v>
      </c>
      <c r="F2" s="3">
        <v>11.7</v>
      </c>
      <c r="G2" s="3">
        <f>A2*E2</f>
        <v>1.82</v>
      </c>
      <c r="H2" s="3">
        <f>F2*A2</f>
        <v>11.7</v>
      </c>
      <c r="I2" s="8">
        <f>CEILING(F2/E2,1)</f>
        <v>7</v>
      </c>
      <c r="J2" s="2" t="b">
        <v>0</v>
      </c>
      <c r="K2" s="2" t="b">
        <v>0</v>
      </c>
      <c r="L2" s="2" t="b">
        <v>1</v>
      </c>
      <c r="M2" t="s">
        <v>14</v>
      </c>
    </row>
    <row r="3" spans="1:13" x14ac:dyDescent="0.2">
      <c r="A3">
        <v>1</v>
      </c>
      <c r="B3" t="s">
        <v>15</v>
      </c>
      <c r="C3" t="s">
        <v>16</v>
      </c>
      <c r="D3" t="s">
        <v>17</v>
      </c>
      <c r="E3" s="11">
        <v>0.32700000000000001</v>
      </c>
      <c r="F3" s="3">
        <v>3.2</v>
      </c>
      <c r="G3" s="3">
        <f t="shared" ref="G3:G27" si="0">A3*E3</f>
        <v>0.32700000000000001</v>
      </c>
      <c r="H3" s="3">
        <f t="shared" ref="H3:H27" si="1">F3*A3</f>
        <v>3.2</v>
      </c>
      <c r="I3" s="8">
        <f t="shared" ref="I3:I24" si="2">CEILING(F3/E3,1)</f>
        <v>10</v>
      </c>
      <c r="J3" s="2" t="b">
        <v>0</v>
      </c>
      <c r="K3" s="2" t="b">
        <v>0</v>
      </c>
      <c r="L3" s="2" t="b">
        <v>1</v>
      </c>
      <c r="M3" t="s">
        <v>19</v>
      </c>
    </row>
    <row r="4" spans="1:13" x14ac:dyDescent="0.2">
      <c r="A4">
        <v>1</v>
      </c>
      <c r="B4" t="s">
        <v>85</v>
      </c>
      <c r="C4" t="s">
        <v>20</v>
      </c>
      <c r="D4" t="s">
        <v>21</v>
      </c>
      <c r="E4" s="11">
        <v>1.74</v>
      </c>
      <c r="F4" s="3">
        <v>11.1</v>
      </c>
      <c r="G4" s="3">
        <f t="shared" si="0"/>
        <v>1.74</v>
      </c>
      <c r="H4" s="3">
        <f t="shared" si="1"/>
        <v>11.1</v>
      </c>
      <c r="I4" s="8">
        <f t="shared" si="2"/>
        <v>7</v>
      </c>
      <c r="J4" s="2" t="b">
        <v>0</v>
      </c>
      <c r="K4" s="2" t="b">
        <v>1</v>
      </c>
      <c r="L4" s="2" t="b">
        <v>0</v>
      </c>
      <c r="M4" t="s">
        <v>22</v>
      </c>
    </row>
    <row r="5" spans="1:13" x14ac:dyDescent="0.2">
      <c r="A5">
        <v>1</v>
      </c>
      <c r="B5" t="s">
        <v>23</v>
      </c>
      <c r="C5" t="s">
        <v>20</v>
      </c>
      <c r="D5" t="s">
        <v>24</v>
      </c>
      <c r="E5" s="11">
        <v>0.439</v>
      </c>
      <c r="F5" s="3">
        <v>3.06</v>
      </c>
      <c r="G5" s="3">
        <f t="shared" si="0"/>
        <v>0.439</v>
      </c>
      <c r="H5" s="3">
        <f t="shared" si="1"/>
        <v>3.06</v>
      </c>
      <c r="I5" s="8">
        <f t="shared" si="2"/>
        <v>7</v>
      </c>
      <c r="J5" s="2" t="b">
        <v>0</v>
      </c>
      <c r="K5" s="2" t="b">
        <v>1</v>
      </c>
      <c r="L5" s="2" t="b">
        <v>0</v>
      </c>
      <c r="M5" t="s">
        <v>25</v>
      </c>
    </row>
    <row r="6" spans="1:13" x14ac:dyDescent="0.2">
      <c r="A6">
        <v>1</v>
      </c>
      <c r="B6" t="s">
        <v>26</v>
      </c>
      <c r="C6" t="s">
        <v>27</v>
      </c>
      <c r="D6" t="s">
        <v>12</v>
      </c>
      <c r="E6" s="11">
        <v>1.86</v>
      </c>
      <c r="F6" s="3">
        <v>12.8</v>
      </c>
      <c r="G6" s="3">
        <f t="shared" si="0"/>
        <v>1.86</v>
      </c>
      <c r="H6" s="3">
        <f t="shared" si="1"/>
        <v>12.8</v>
      </c>
      <c r="I6" s="8">
        <f t="shared" si="2"/>
        <v>7</v>
      </c>
      <c r="J6" s="2" t="b">
        <v>0</v>
      </c>
      <c r="K6" s="2" t="b">
        <v>1</v>
      </c>
      <c r="L6" s="2" t="b">
        <v>0</v>
      </c>
      <c r="M6" t="s">
        <v>28</v>
      </c>
    </row>
    <row r="7" spans="1:13" x14ac:dyDescent="0.2">
      <c r="A7">
        <v>1</v>
      </c>
      <c r="B7" s="13" t="s">
        <v>29</v>
      </c>
      <c r="C7" t="s">
        <v>30</v>
      </c>
      <c r="D7" t="s">
        <v>12</v>
      </c>
      <c r="E7" s="11">
        <v>10.34</v>
      </c>
      <c r="F7" s="3">
        <v>101.7</v>
      </c>
      <c r="G7" s="3">
        <f t="shared" si="0"/>
        <v>10.34</v>
      </c>
      <c r="H7" s="3">
        <f t="shared" si="1"/>
        <v>101.7</v>
      </c>
      <c r="I7" s="8">
        <f t="shared" si="2"/>
        <v>10</v>
      </c>
      <c r="J7" s="2" t="b">
        <v>0</v>
      </c>
      <c r="K7" s="2" t="b">
        <v>1</v>
      </c>
      <c r="L7" s="2" t="b">
        <v>0</v>
      </c>
      <c r="M7" s="12" t="s">
        <v>31</v>
      </c>
    </row>
    <row r="8" spans="1:13" x14ac:dyDescent="0.2">
      <c r="A8">
        <v>1</v>
      </c>
      <c r="B8" t="s">
        <v>35</v>
      </c>
      <c r="C8" t="s">
        <v>32</v>
      </c>
      <c r="D8" t="s">
        <v>33</v>
      </c>
      <c r="E8" s="11">
        <v>8.5999999999999993E-2</v>
      </c>
      <c r="F8" s="3">
        <v>0.41</v>
      </c>
      <c r="G8" s="3">
        <f t="shared" si="0"/>
        <v>8.5999999999999993E-2</v>
      </c>
      <c r="H8" s="3">
        <f t="shared" si="1"/>
        <v>0.41</v>
      </c>
      <c r="I8" s="8">
        <f t="shared" si="2"/>
        <v>5</v>
      </c>
      <c r="J8" s="2" t="b">
        <v>0</v>
      </c>
      <c r="K8" s="2" t="b">
        <v>1</v>
      </c>
      <c r="L8" s="2" t="b">
        <v>0</v>
      </c>
      <c r="M8" t="s">
        <v>34</v>
      </c>
    </row>
    <row r="9" spans="1:13" x14ac:dyDescent="0.2">
      <c r="A9">
        <v>1</v>
      </c>
      <c r="B9" t="s">
        <v>36</v>
      </c>
      <c r="C9" t="s">
        <v>37</v>
      </c>
      <c r="D9" t="s">
        <v>38</v>
      </c>
      <c r="E9" s="11">
        <v>3.14</v>
      </c>
      <c r="F9" s="3">
        <v>23.7</v>
      </c>
      <c r="G9" s="3">
        <f t="shared" si="0"/>
        <v>3.14</v>
      </c>
      <c r="H9" s="3">
        <f t="shared" si="1"/>
        <v>23.7</v>
      </c>
      <c r="I9" s="8">
        <f t="shared" si="2"/>
        <v>8</v>
      </c>
      <c r="J9" s="2" t="b">
        <v>0</v>
      </c>
      <c r="K9" s="2" t="b">
        <v>1</v>
      </c>
      <c r="L9" s="2" t="b">
        <v>0</v>
      </c>
      <c r="M9" t="s">
        <v>39</v>
      </c>
    </row>
    <row r="10" spans="1:13" x14ac:dyDescent="0.2">
      <c r="A10">
        <v>2</v>
      </c>
      <c r="B10" t="s">
        <v>40</v>
      </c>
      <c r="C10" t="s">
        <v>93</v>
      </c>
      <c r="D10" t="s">
        <v>41</v>
      </c>
      <c r="E10" s="11">
        <v>2.2400000000000002</v>
      </c>
      <c r="F10" s="3">
        <v>16.8</v>
      </c>
      <c r="G10" s="3">
        <f t="shared" si="0"/>
        <v>4.4800000000000004</v>
      </c>
      <c r="H10" s="3">
        <f t="shared" si="1"/>
        <v>33.6</v>
      </c>
      <c r="I10" s="8">
        <f t="shared" si="2"/>
        <v>8</v>
      </c>
      <c r="J10" s="2" t="b">
        <v>1</v>
      </c>
      <c r="K10" s="2" t="b">
        <v>1</v>
      </c>
      <c r="L10" s="2" t="b">
        <v>0</v>
      </c>
      <c r="M10" t="s">
        <v>43</v>
      </c>
    </row>
    <row r="11" spans="1:13" x14ac:dyDescent="0.2">
      <c r="A11" s="13">
        <v>1</v>
      </c>
      <c r="B11" s="13" t="s">
        <v>82</v>
      </c>
      <c r="C11" s="13" t="s">
        <v>83</v>
      </c>
      <c r="D11" s="13" t="s">
        <v>44</v>
      </c>
      <c r="E11" s="14">
        <v>7.07</v>
      </c>
      <c r="F11" s="15">
        <v>54.3</v>
      </c>
      <c r="G11" s="15">
        <f t="shared" si="0"/>
        <v>7.07</v>
      </c>
      <c r="H11" s="15">
        <f t="shared" si="1"/>
        <v>54.3</v>
      </c>
      <c r="I11" s="16">
        <f t="shared" si="2"/>
        <v>8</v>
      </c>
      <c r="J11" s="17" t="b">
        <v>0</v>
      </c>
      <c r="K11" s="2" t="b">
        <v>1</v>
      </c>
      <c r="L11" s="2" t="b">
        <v>0</v>
      </c>
      <c r="M11" t="s">
        <v>84</v>
      </c>
    </row>
    <row r="12" spans="1:13" x14ac:dyDescent="0.2">
      <c r="A12" s="13">
        <v>2</v>
      </c>
      <c r="B12" s="18" t="s">
        <v>46</v>
      </c>
      <c r="C12" s="19" t="s">
        <v>45</v>
      </c>
      <c r="D12" s="13" t="s">
        <v>47</v>
      </c>
      <c r="E12" s="14">
        <v>8.6999999999999993</v>
      </c>
      <c r="F12" s="15">
        <v>63.1</v>
      </c>
      <c r="G12" s="15">
        <f t="shared" si="0"/>
        <v>17.399999999999999</v>
      </c>
      <c r="H12" s="15">
        <f t="shared" si="1"/>
        <v>126.2</v>
      </c>
      <c r="I12" s="16">
        <f t="shared" si="2"/>
        <v>8</v>
      </c>
      <c r="J12" s="17" t="b">
        <v>0</v>
      </c>
      <c r="K12" s="2" t="b">
        <v>1</v>
      </c>
      <c r="L12" s="2" t="b">
        <v>0</v>
      </c>
      <c r="M12" t="s">
        <v>48</v>
      </c>
    </row>
    <row r="13" spans="1:13" x14ac:dyDescent="0.2">
      <c r="A13">
        <v>1</v>
      </c>
      <c r="B13" t="s">
        <v>49</v>
      </c>
      <c r="C13" t="s">
        <v>16</v>
      </c>
      <c r="D13" t="s">
        <v>50</v>
      </c>
      <c r="E13" s="11">
        <v>5.22</v>
      </c>
      <c r="F13" s="3">
        <v>40.1</v>
      </c>
      <c r="G13" s="3">
        <f t="shared" si="0"/>
        <v>5.22</v>
      </c>
      <c r="H13" s="3">
        <f t="shared" si="1"/>
        <v>40.1</v>
      </c>
      <c r="I13" s="8">
        <f t="shared" si="2"/>
        <v>8</v>
      </c>
      <c r="J13" s="2" t="b">
        <v>0</v>
      </c>
      <c r="K13" s="2" t="b">
        <v>1</v>
      </c>
      <c r="L13" s="2" t="b">
        <v>0</v>
      </c>
      <c r="M13" t="s">
        <v>51</v>
      </c>
    </row>
    <row r="14" spans="1:13" x14ac:dyDescent="0.2">
      <c r="A14">
        <v>1</v>
      </c>
      <c r="B14" t="s">
        <v>52</v>
      </c>
      <c r="C14" t="s">
        <v>16</v>
      </c>
      <c r="D14" t="s">
        <v>50</v>
      </c>
      <c r="E14" s="11">
        <v>4.1100000000000003</v>
      </c>
      <c r="F14" s="3">
        <v>31.3</v>
      </c>
      <c r="G14" s="3">
        <f t="shared" si="0"/>
        <v>4.1100000000000003</v>
      </c>
      <c r="H14" s="3">
        <f t="shared" si="1"/>
        <v>31.3</v>
      </c>
      <c r="I14" s="8">
        <f t="shared" si="2"/>
        <v>8</v>
      </c>
      <c r="J14" s="2" t="b">
        <v>0</v>
      </c>
      <c r="K14" s="2" t="b">
        <v>1</v>
      </c>
      <c r="L14" s="2" t="b">
        <v>0</v>
      </c>
      <c r="M14" t="s">
        <v>53</v>
      </c>
    </row>
    <row r="15" spans="1:13" x14ac:dyDescent="0.2">
      <c r="A15">
        <v>1</v>
      </c>
      <c r="B15" t="s">
        <v>54</v>
      </c>
      <c r="C15" t="s">
        <v>55</v>
      </c>
      <c r="D15" t="s">
        <v>56</v>
      </c>
      <c r="E15" s="11">
        <v>7.27</v>
      </c>
      <c r="F15" s="3">
        <v>56.4</v>
      </c>
      <c r="G15" s="3">
        <f t="shared" si="0"/>
        <v>7.27</v>
      </c>
      <c r="H15" s="3">
        <f t="shared" si="1"/>
        <v>56.4</v>
      </c>
      <c r="I15" s="8">
        <f t="shared" si="2"/>
        <v>8</v>
      </c>
      <c r="J15" s="2" t="b">
        <v>0</v>
      </c>
      <c r="K15" s="2" t="b">
        <v>1</v>
      </c>
      <c r="L15" s="2" t="b">
        <v>0</v>
      </c>
      <c r="M15" t="s">
        <v>57</v>
      </c>
    </row>
    <row r="16" spans="1:13" x14ac:dyDescent="0.2">
      <c r="A16">
        <v>2</v>
      </c>
      <c r="B16" t="s">
        <v>59</v>
      </c>
      <c r="C16" t="s">
        <v>10</v>
      </c>
      <c r="D16" t="s">
        <v>60</v>
      </c>
      <c r="E16" s="11">
        <v>0.67900000000000005</v>
      </c>
      <c r="F16" s="3">
        <v>4.2300000000000004</v>
      </c>
      <c r="G16" s="3">
        <f t="shared" si="0"/>
        <v>1.3580000000000001</v>
      </c>
      <c r="H16" s="3">
        <f t="shared" si="1"/>
        <v>8.4600000000000009</v>
      </c>
      <c r="I16" s="8">
        <f t="shared" si="2"/>
        <v>7</v>
      </c>
      <c r="J16" s="2" t="b">
        <v>1</v>
      </c>
      <c r="K16" s="2" t="b">
        <v>0</v>
      </c>
      <c r="L16" s="2" t="b">
        <v>0</v>
      </c>
      <c r="M16" s="12" t="s">
        <v>58</v>
      </c>
    </row>
    <row r="17" spans="1:13" x14ac:dyDescent="0.2">
      <c r="A17">
        <v>1</v>
      </c>
      <c r="B17" t="s">
        <v>61</v>
      </c>
      <c r="C17" t="s">
        <v>62</v>
      </c>
      <c r="D17" t="s">
        <v>60</v>
      </c>
      <c r="E17" s="11">
        <v>0.63600000000000001</v>
      </c>
      <c r="F17" s="3">
        <v>3.94</v>
      </c>
      <c r="G17" s="3">
        <f t="shared" si="0"/>
        <v>0.63600000000000001</v>
      </c>
      <c r="H17" s="3">
        <f t="shared" si="1"/>
        <v>3.94</v>
      </c>
      <c r="I17" s="8">
        <f t="shared" si="2"/>
        <v>7</v>
      </c>
      <c r="J17" s="2" t="b">
        <v>1</v>
      </c>
      <c r="K17" s="2" t="b">
        <v>0</v>
      </c>
      <c r="L17" s="2" t="b">
        <v>0</v>
      </c>
      <c r="M17" s="12" t="s">
        <v>63</v>
      </c>
    </row>
    <row r="18" spans="1:13" x14ac:dyDescent="0.2">
      <c r="A18">
        <v>1</v>
      </c>
      <c r="B18" t="s">
        <v>64</v>
      </c>
      <c r="C18" t="s">
        <v>42</v>
      </c>
      <c r="D18" t="s">
        <v>12</v>
      </c>
      <c r="E18" s="11">
        <v>1.43</v>
      </c>
      <c r="F18" s="3">
        <v>10.5</v>
      </c>
      <c r="G18" s="3">
        <f t="shared" si="0"/>
        <v>1.43</v>
      </c>
      <c r="H18" s="3">
        <f t="shared" si="1"/>
        <v>10.5</v>
      </c>
      <c r="I18" s="8">
        <f t="shared" si="2"/>
        <v>8</v>
      </c>
      <c r="J18" s="2" t="b">
        <v>1</v>
      </c>
      <c r="K18" s="2" t="b">
        <v>0</v>
      </c>
      <c r="L18" s="2" t="b">
        <v>0</v>
      </c>
      <c r="M18" t="s">
        <v>65</v>
      </c>
    </row>
    <row r="19" spans="1:13" x14ac:dyDescent="0.2">
      <c r="A19">
        <v>1</v>
      </c>
      <c r="B19" t="s">
        <v>66</v>
      </c>
      <c r="C19" t="s">
        <v>27</v>
      </c>
      <c r="D19" t="s">
        <v>38</v>
      </c>
      <c r="E19" s="11">
        <v>0.98899999999999999</v>
      </c>
      <c r="F19" s="3">
        <v>7.17</v>
      </c>
      <c r="G19" s="3">
        <f t="shared" si="0"/>
        <v>0.98899999999999999</v>
      </c>
      <c r="H19" s="3">
        <f t="shared" si="1"/>
        <v>7.17</v>
      </c>
      <c r="I19" s="8">
        <f t="shared" si="2"/>
        <v>8</v>
      </c>
      <c r="J19" s="2" t="b">
        <v>1</v>
      </c>
      <c r="K19" s="2" t="b">
        <v>0</v>
      </c>
      <c r="L19" s="2" t="b">
        <v>0</v>
      </c>
      <c r="M19" t="s">
        <v>67</v>
      </c>
    </row>
    <row r="20" spans="1:13" x14ac:dyDescent="0.2">
      <c r="A20">
        <v>1</v>
      </c>
      <c r="B20" t="s">
        <v>68</v>
      </c>
      <c r="C20" t="s">
        <v>16</v>
      </c>
      <c r="D20" t="s">
        <v>69</v>
      </c>
      <c r="E20" s="11">
        <v>3.48</v>
      </c>
      <c r="F20" s="3">
        <v>26.4</v>
      </c>
      <c r="G20" s="3">
        <f t="shared" si="0"/>
        <v>3.48</v>
      </c>
      <c r="H20" s="3">
        <f t="shared" si="1"/>
        <v>26.4</v>
      </c>
      <c r="I20" s="8">
        <f t="shared" si="2"/>
        <v>8</v>
      </c>
      <c r="J20" s="2" t="b">
        <v>1</v>
      </c>
      <c r="K20" s="2" t="b">
        <v>0</v>
      </c>
      <c r="L20" s="2" t="b">
        <v>0</v>
      </c>
      <c r="M20" t="s">
        <v>70</v>
      </c>
    </row>
    <row r="21" spans="1:13" x14ac:dyDescent="0.2">
      <c r="A21">
        <v>1</v>
      </c>
      <c r="B21" t="s">
        <v>71</v>
      </c>
      <c r="C21" t="s">
        <v>62</v>
      </c>
      <c r="D21" t="s">
        <v>92</v>
      </c>
      <c r="E21" s="11">
        <v>6.04</v>
      </c>
      <c r="F21" s="3">
        <v>48.3</v>
      </c>
      <c r="G21" s="3">
        <f t="shared" si="0"/>
        <v>6.04</v>
      </c>
      <c r="H21" s="3">
        <f t="shared" si="1"/>
        <v>48.3</v>
      </c>
      <c r="I21" s="8">
        <f t="shared" si="2"/>
        <v>8</v>
      </c>
      <c r="J21" s="2" t="b">
        <v>1</v>
      </c>
      <c r="K21" s="2" t="b">
        <v>0</v>
      </c>
      <c r="L21" s="2" t="b">
        <v>0</v>
      </c>
      <c r="M21" t="s">
        <v>72</v>
      </c>
    </row>
    <row r="22" spans="1:13" x14ac:dyDescent="0.2">
      <c r="A22">
        <v>1</v>
      </c>
      <c r="B22" t="s">
        <v>73</v>
      </c>
      <c r="C22" t="s">
        <v>20</v>
      </c>
      <c r="D22" t="s">
        <v>47</v>
      </c>
      <c r="E22" s="11">
        <v>3.19</v>
      </c>
      <c r="F22" s="3">
        <v>24.1</v>
      </c>
      <c r="G22" s="3">
        <f t="shared" si="0"/>
        <v>3.19</v>
      </c>
      <c r="H22" s="3">
        <f t="shared" si="1"/>
        <v>24.1</v>
      </c>
      <c r="I22" s="8">
        <f t="shared" si="2"/>
        <v>8</v>
      </c>
      <c r="J22" s="2" t="b">
        <v>1</v>
      </c>
      <c r="K22" s="2" t="b">
        <v>0</v>
      </c>
      <c r="L22" s="2" t="b">
        <v>0</v>
      </c>
      <c r="M22" t="s">
        <v>74</v>
      </c>
    </row>
    <row r="23" spans="1:13" x14ac:dyDescent="0.2">
      <c r="A23">
        <v>1</v>
      </c>
      <c r="B23" t="s">
        <v>76</v>
      </c>
      <c r="C23" t="s">
        <v>27</v>
      </c>
      <c r="D23" t="s">
        <v>77</v>
      </c>
      <c r="E23" s="11">
        <v>1.93</v>
      </c>
      <c r="F23" s="3">
        <v>14.3</v>
      </c>
      <c r="G23" s="3">
        <f t="shared" si="0"/>
        <v>1.93</v>
      </c>
      <c r="H23" s="3">
        <f t="shared" si="1"/>
        <v>14.3</v>
      </c>
      <c r="I23" s="8">
        <f t="shared" si="2"/>
        <v>8</v>
      </c>
      <c r="J23" s="2" t="b">
        <v>1</v>
      </c>
      <c r="K23" s="2" t="b">
        <v>0</v>
      </c>
      <c r="L23" s="2" t="b">
        <v>0</v>
      </c>
      <c r="M23" t="s">
        <v>78</v>
      </c>
    </row>
    <row r="24" spans="1:13" x14ac:dyDescent="0.2">
      <c r="A24">
        <v>1</v>
      </c>
      <c r="B24" t="s">
        <v>79</v>
      </c>
      <c r="C24" t="s">
        <v>20</v>
      </c>
      <c r="D24" t="s">
        <v>80</v>
      </c>
      <c r="E24" s="11">
        <v>5.67</v>
      </c>
      <c r="F24" s="3">
        <v>43.6</v>
      </c>
      <c r="G24" s="3">
        <f t="shared" si="0"/>
        <v>5.67</v>
      </c>
      <c r="H24" s="3">
        <f t="shared" si="1"/>
        <v>43.6</v>
      </c>
      <c r="I24" s="8">
        <f t="shared" si="2"/>
        <v>8</v>
      </c>
      <c r="J24" s="2" t="b">
        <v>1</v>
      </c>
      <c r="K24" s="2" t="b">
        <v>0</v>
      </c>
      <c r="L24" s="2" t="b">
        <v>0</v>
      </c>
      <c r="M24" t="s">
        <v>81</v>
      </c>
    </row>
    <row r="25" spans="1:13" x14ac:dyDescent="0.2">
      <c r="A25">
        <v>1</v>
      </c>
      <c r="B25" t="s">
        <v>86</v>
      </c>
      <c r="C25" t="s">
        <v>87</v>
      </c>
      <c r="D25" t="s">
        <v>88</v>
      </c>
      <c r="E25" s="11">
        <v>0.47299999999999998</v>
      </c>
      <c r="F25" s="3">
        <v>2.9</v>
      </c>
      <c r="G25" s="3">
        <f t="shared" si="0"/>
        <v>0.47299999999999998</v>
      </c>
      <c r="H25" s="3">
        <f t="shared" si="1"/>
        <v>2.9</v>
      </c>
      <c r="I25" s="8">
        <f>CEILING(F25/E25,1)</f>
        <v>7</v>
      </c>
      <c r="J25" s="2" t="b">
        <v>0</v>
      </c>
      <c r="K25" s="2" t="b">
        <v>1</v>
      </c>
      <c r="L25" s="2" t="b">
        <v>0</v>
      </c>
      <c r="M25" t="s">
        <v>89</v>
      </c>
    </row>
    <row r="26" spans="1:13" x14ac:dyDescent="0.2">
      <c r="A26">
        <v>1</v>
      </c>
      <c r="B26" t="s">
        <v>90</v>
      </c>
      <c r="C26" t="s">
        <v>91</v>
      </c>
      <c r="D26" t="s">
        <v>88</v>
      </c>
      <c r="E26" s="11">
        <v>0.30099999999999999</v>
      </c>
      <c r="F26" s="3">
        <v>1.75</v>
      </c>
      <c r="G26" s="3">
        <f t="shared" si="0"/>
        <v>0.30099999999999999</v>
      </c>
      <c r="H26" s="3">
        <f t="shared" si="1"/>
        <v>1.75</v>
      </c>
      <c r="I26" s="8">
        <f t="shared" ref="I25:I30" si="3">CEILING(F26/E26,1)</f>
        <v>6</v>
      </c>
      <c r="J26" s="2" t="b">
        <v>0</v>
      </c>
      <c r="K26" s="2" t="b">
        <v>1</v>
      </c>
      <c r="L26" s="2" t="b">
        <v>0</v>
      </c>
      <c r="M26" t="s">
        <v>96</v>
      </c>
    </row>
    <row r="27" spans="1:13" x14ac:dyDescent="0.2">
      <c r="A27">
        <v>1</v>
      </c>
      <c r="B27" t="s">
        <v>94</v>
      </c>
      <c r="C27" t="s">
        <v>27</v>
      </c>
      <c r="D27" t="s">
        <v>77</v>
      </c>
      <c r="E27" s="11">
        <v>0.74</v>
      </c>
      <c r="F27" s="3">
        <v>5.31</v>
      </c>
      <c r="G27" s="3">
        <f t="shared" si="0"/>
        <v>0.74</v>
      </c>
      <c r="H27" s="3">
        <f t="shared" si="1"/>
        <v>5.31</v>
      </c>
      <c r="I27" s="8">
        <f t="shared" si="3"/>
        <v>8</v>
      </c>
      <c r="J27" s="2" t="b">
        <v>1</v>
      </c>
      <c r="K27" s="2" t="b">
        <v>0</v>
      </c>
      <c r="L27" s="2" t="b">
        <v>0</v>
      </c>
      <c r="M27" t="s">
        <v>95</v>
      </c>
    </row>
    <row r="28" spans="1:13" x14ac:dyDescent="0.2">
      <c r="I28" s="8" t="e">
        <f t="shared" si="3"/>
        <v>#DIV/0!</v>
      </c>
      <c r="J28" s="2" t="b">
        <v>0</v>
      </c>
      <c r="K28" s="2" t="b">
        <v>0</v>
      </c>
      <c r="L28" s="2" t="b">
        <v>0</v>
      </c>
    </row>
    <row r="29" spans="1:13" x14ac:dyDescent="0.2">
      <c r="I29" s="8" t="e">
        <f t="shared" si="3"/>
        <v>#DIV/0!</v>
      </c>
      <c r="J29" s="2" t="b">
        <v>0</v>
      </c>
      <c r="K29" s="2" t="b">
        <v>0</v>
      </c>
      <c r="L29" s="2" t="b">
        <v>0</v>
      </c>
    </row>
    <row r="30" spans="1:13" x14ac:dyDescent="0.2">
      <c r="I30" s="8" t="e">
        <f t="shared" si="3"/>
        <v>#DIV/0!</v>
      </c>
      <c r="J30" s="2" t="b">
        <v>0</v>
      </c>
      <c r="K30" s="2" t="b">
        <v>0</v>
      </c>
      <c r="L30" s="2" t="b">
        <v>0</v>
      </c>
    </row>
    <row r="31" spans="1:13" x14ac:dyDescent="0.2">
      <c r="F31" s="3" t="s">
        <v>4</v>
      </c>
      <c r="G31" s="3">
        <f>SUM(G2:G30)</f>
        <v>91.539000000000016</v>
      </c>
      <c r="H31" s="3">
        <f>SUM(H2:H30)</f>
        <v>706.29999999999984</v>
      </c>
      <c r="I31" s="8"/>
    </row>
    <row r="32" spans="1:13" x14ac:dyDescent="0.2">
      <c r="I32" s="8"/>
    </row>
    <row r="33" spans="9:9" x14ac:dyDescent="0.2">
      <c r="I33" s="8"/>
    </row>
    <row r="34" spans="9:9" x14ac:dyDescent="0.2">
      <c r="I34" s="8"/>
    </row>
    <row r="35" spans="9:9" x14ac:dyDescent="0.2">
      <c r="I35" s="8"/>
    </row>
    <row r="36" spans="9:9" x14ac:dyDescent="0.2">
      <c r="I36" s="8"/>
    </row>
  </sheetData>
  <phoneticPr fontId="2" type="noConversion"/>
  <hyperlinks>
    <hyperlink ref="M7" r:id="rId1" xr:uid="{6EA7BB27-73B8-B94A-B308-8DB1460EF56B}"/>
    <hyperlink ref="M16" r:id="rId2" xr:uid="{D9502D8E-249A-B246-A4C9-19FA70A411A5}"/>
    <hyperlink ref="M17" r:id="rId3" xr:uid="{F42FFEB9-392B-1441-A689-C56D8A1C9F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Felipe Martinez Espinosa</dc:creator>
  <cp:lastModifiedBy>Gabriel Felipe Martinez Espinosa</cp:lastModifiedBy>
  <dcterms:created xsi:type="dcterms:W3CDTF">2026-05-08T10:30:05Z</dcterms:created>
  <dcterms:modified xsi:type="dcterms:W3CDTF">2026-05-11T15:57:15Z</dcterms:modified>
</cp:coreProperties>
</file>